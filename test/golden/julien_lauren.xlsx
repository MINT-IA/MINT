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DzpLDD2QybkeIZwIJvXPUFKDG3eF6jo3UAM7zNUpUhI="/>
    </ext>
  </extLst>
</workbook>
</file>

<file path=xl/sharedStrings.xml><?xml version="1.0" encoding="utf-8"?>
<sst xmlns="http://schemas.openxmlformats.org/spreadsheetml/2006/main" count="85" uniqueCount="68">
  <si>
    <t>Durée Julien</t>
  </si>
  <si>
    <t>Julien LPP</t>
  </si>
  <si>
    <t>Lauren LPP</t>
  </si>
  <si>
    <t>Julien 3a</t>
  </si>
  <si>
    <t>Lauren 3a</t>
  </si>
  <si>
    <t>Julien marché</t>
  </si>
  <si>
    <t>Lauren marché</t>
  </si>
  <si>
    <t>Durée Lauren</t>
  </si>
  <si>
    <t>LPP mens</t>
  </si>
  <si>
    <t>Epargne</t>
  </si>
  <si>
    <t>LPP Rachat</t>
  </si>
  <si>
    <t>Capital depart</t>
  </si>
  <si>
    <t>Julien</t>
  </si>
  <si>
    <t>Lauren</t>
  </si>
  <si>
    <t>Total</t>
  </si>
  <si>
    <t>Salaire mensuel Brut</t>
  </si>
  <si>
    <t xml:space="preserve">Allocation </t>
  </si>
  <si>
    <t>VA_future_mens</t>
  </si>
  <si>
    <t>VA_3a:</t>
  </si>
  <si>
    <t>VA_future_mens:</t>
  </si>
  <si>
    <t>Forfait</t>
  </si>
  <si>
    <t>VA_future_an (max 300000)</t>
  </si>
  <si>
    <t>VA_future_an (max 50k)</t>
  </si>
  <si>
    <t>Brut</t>
  </si>
  <si>
    <t>Total LPP</t>
  </si>
  <si>
    <t>Salaire coordonné</t>
  </si>
  <si>
    <t xml:space="preserve">Cotisaiton CAF </t>
  </si>
  <si>
    <t>Rente LPP 50%</t>
  </si>
  <si>
    <t>CP Prime risque</t>
  </si>
  <si>
    <t>taux conv 5%</t>
  </si>
  <si>
    <t>LPP facultatif</t>
  </si>
  <si>
    <t>Capital net Impôt</t>
  </si>
  <si>
    <t>AVS</t>
  </si>
  <si>
    <t>AC</t>
  </si>
  <si>
    <t>Max Rachat Julien</t>
  </si>
  <si>
    <t>Max Rachat Lauren</t>
  </si>
  <si>
    <t>LPP</t>
  </si>
  <si>
    <t>Max rachat Julien/mois</t>
  </si>
  <si>
    <t>Max rachat Lauren/mois</t>
  </si>
  <si>
    <t>LPP Risque</t>
  </si>
  <si>
    <t>Total Déductions</t>
  </si>
  <si>
    <t>Total 50% capital LPP</t>
  </si>
  <si>
    <t>Net</t>
  </si>
  <si>
    <t>Rente mensuelle issue du capital</t>
  </si>
  <si>
    <t>Epargne dans marché</t>
  </si>
  <si>
    <t>LPP Julien</t>
  </si>
  <si>
    <t>3a</t>
  </si>
  <si>
    <t>LPP Lauren</t>
  </si>
  <si>
    <t>extra LPP</t>
  </si>
  <si>
    <t>avs couple</t>
  </si>
  <si>
    <t>Total actuel L&amp;J sur 12 mois net</t>
  </si>
  <si>
    <t>assurance maladie</t>
  </si>
  <si>
    <t>Loyer</t>
  </si>
  <si>
    <t>Taux de remplacement</t>
  </si>
  <si>
    <t>couple</t>
  </si>
  <si>
    <t>assurances</t>
  </si>
  <si>
    <t>Impôts</t>
  </si>
  <si>
    <t>Impot</t>
  </si>
  <si>
    <t>Julien; extra 1000 dans marché</t>
  </si>
  <si>
    <t>1644 à vivre aujourdhui</t>
  </si>
  <si>
    <t>Julien; extra 1000 dans LPP</t>
  </si>
  <si>
    <t>1884 à vivre aujourd hui</t>
  </si>
  <si>
    <t>Total Vivre</t>
  </si>
  <si>
    <t>rien</t>
  </si>
  <si>
    <t>2644 à vivre aujourd0hui</t>
  </si>
  <si>
    <t>Plus 13 et bonus</t>
  </si>
  <si>
    <t>Total nette à vivre</t>
  </si>
  <si>
    <t>Bonus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</si>
</sst>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&quot;CHF&quot;;[Red]\-#,##0.00\ &quot;CHF&quot;"/>
    <numFmt numFmtId="165" formatCode="0.0%"/>
  </numFmts>
  <fonts count="6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1F0C8"/>
        <bgColor rgb="FFC1F0C8"/>
      </patternFill>
    </fill>
    <fill>
      <patternFill patternType="solid">
        <fgColor rgb="FFC1E4F5"/>
        <bgColor rgb="FFC1E4F5"/>
      </patternFill>
    </fill>
    <fill>
      <patternFill patternType="solid">
        <fgColor rgb="FFFFC000"/>
        <bgColor rgb="FFFFC000"/>
      </patternFill>
    </fill>
  </fills>
  <borders count="11">
    <border/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9" xfId="0" applyAlignment="1" applyBorder="1" applyFont="1" applyNumberFormat="1">
      <alignment readingOrder="0"/>
    </xf>
    <xf borderId="1" fillId="3" fontId="1" numFmtId="0" xfId="0" applyBorder="1" applyFill="1" applyFont="1"/>
    <xf borderId="1" fillId="3" fontId="1" numFmtId="9" xfId="0" applyBorder="1" applyFont="1" applyNumberFormat="1"/>
    <xf borderId="1" fillId="3" fontId="2" numFmtId="9" xfId="0" applyAlignment="1" applyBorder="1" applyFont="1" applyNumberFormat="1">
      <alignment readingOrder="0"/>
    </xf>
    <xf borderId="1" fillId="2" fontId="1" numFmtId="2" xfId="0" applyBorder="1" applyFont="1" applyNumberFormat="1"/>
    <xf borderId="1" fillId="3" fontId="1" numFmtId="2" xfId="0" applyBorder="1" applyFont="1" applyNumberFormat="1"/>
    <xf borderId="1" fillId="2" fontId="2" numFmtId="0" xfId="0" applyAlignment="1" applyBorder="1" applyFont="1">
      <alignment readingOrder="0"/>
    </xf>
    <xf borderId="1" fillId="2" fontId="3" numFmtId="0" xfId="0" applyBorder="1" applyFont="1"/>
    <xf borderId="1" fillId="3" fontId="3" numFmtId="0" xfId="0" applyBorder="1" applyFont="1"/>
    <xf borderId="0" fillId="0" fontId="4" numFmtId="0" xfId="0" applyFont="1"/>
    <xf borderId="1" fillId="2" fontId="1" numFmtId="164" xfId="0" applyBorder="1" applyFont="1" applyNumberFormat="1"/>
    <xf borderId="1" fillId="3" fontId="1" numFmtId="164" xfId="0" applyBorder="1" applyFont="1" applyNumberFormat="1"/>
    <xf borderId="1" fillId="2" fontId="3" numFmtId="164" xfId="0" applyBorder="1" applyFont="1" applyNumberFormat="1"/>
    <xf borderId="1" fillId="3" fontId="3" numFmtId="164" xfId="0" applyBorder="1" applyFont="1" applyNumberFormat="1"/>
    <xf borderId="0" fillId="0" fontId="3" numFmtId="0" xfId="0" applyFont="1"/>
    <xf borderId="0" fillId="0" fontId="5" numFmtId="0" xfId="0" applyAlignment="1" applyFont="1">
      <alignment readingOrder="0"/>
    </xf>
    <xf borderId="1" fillId="2" fontId="1" numFmtId="10" xfId="0" applyBorder="1" applyFont="1" applyNumberFormat="1"/>
    <xf borderId="1" fillId="3" fontId="1" numFmtId="10" xfId="0" applyBorder="1" applyFont="1" applyNumberFormat="1"/>
    <xf borderId="0" fillId="0" fontId="1" numFmtId="164" xfId="0" applyFont="1" applyNumberFormat="1"/>
    <xf borderId="1" fillId="2" fontId="1" numFmtId="9" xfId="0" applyBorder="1" applyFont="1" applyNumberFormat="1"/>
    <xf borderId="0" fillId="0" fontId="3" numFmtId="164" xfId="0" applyFont="1" applyNumberFormat="1"/>
    <xf borderId="1" fillId="2" fontId="1" numFmtId="1" xfId="0" applyBorder="1" applyFont="1" applyNumberFormat="1"/>
    <xf borderId="1" fillId="3" fontId="1" numFmtId="1" xfId="0" applyBorder="1" applyFont="1" applyNumberFormat="1"/>
    <xf borderId="2" fillId="0" fontId="3" numFmtId="0" xfId="0" applyBorder="1" applyFont="1"/>
    <xf borderId="3" fillId="0" fontId="3" numFmtId="164" xfId="0" applyBorder="1" applyFont="1" applyNumberForma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0" fillId="0" fontId="1" numFmtId="0" xfId="0" applyFont="1"/>
    <xf borderId="6" fillId="0" fontId="1" numFmtId="0" xfId="0" applyBorder="1" applyFont="1"/>
    <xf borderId="1" fillId="3" fontId="2" numFmtId="0" xfId="0" applyAlignment="1" applyBorder="1" applyFont="1">
      <alignment readingOrder="0"/>
    </xf>
    <xf borderId="7" fillId="4" fontId="3" numFmtId="0" xfId="0" applyBorder="1" applyFill="1" applyFont="1"/>
    <xf borderId="1" fillId="4" fontId="3" numFmtId="164" xfId="0" applyBorder="1" applyFont="1" applyNumberFormat="1"/>
    <xf borderId="1" fillId="4" fontId="3" numFmtId="0" xfId="0" applyBorder="1" applyFont="1"/>
    <xf borderId="1" fillId="4" fontId="3" numFmtId="165" xfId="0" applyBorder="1" applyFont="1" applyNumberFormat="1"/>
    <xf borderId="0" fillId="0" fontId="1" numFmtId="2" xfId="0" applyFont="1" applyNumberFormat="1"/>
    <xf borderId="0" fillId="0" fontId="1" numFmtId="1" xfId="0" applyAlignment="1" applyFont="1" applyNumberFormat="1">
      <alignment horizontal="left"/>
    </xf>
    <xf borderId="0" fillId="0" fontId="1" numFmtId="9" xfId="0" applyFont="1" applyNumberFormat="1"/>
    <xf borderId="6" fillId="0" fontId="1" numFmtId="9" xfId="0" applyBorder="1" applyFont="1" applyNumberFormat="1"/>
    <xf borderId="8" fillId="0" fontId="1" numFmtId="0" xfId="0" applyBorder="1" applyFont="1"/>
    <xf borderId="9" fillId="0" fontId="1" numFmtId="0" xfId="0" applyBorder="1" applyFont="1"/>
    <xf borderId="9" fillId="0" fontId="1" numFmtId="9" xfId="0" applyBorder="1" applyFont="1" applyNumberFormat="1"/>
    <xf borderId="10" fillId="0" fontId="1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6" width="10.63"/>
    <col customWidth="1" min="7" max="7" width="24.75"/>
    <col customWidth="1" min="8" max="8" width="15.63"/>
    <col customWidth="1" min="9" max="9" width="7.38"/>
    <col customWidth="1" min="10" max="10" width="21.75"/>
    <col customWidth="1" min="11" max="11" width="16.13"/>
    <col customWidth="1" min="12" max="12" width="6.75"/>
    <col customWidth="1" min="13" max="13" width="15.25"/>
    <col customWidth="1" min="14" max="14" width="19.13"/>
    <col customWidth="1" min="15" max="15" width="6.38"/>
    <col customWidth="1" min="16" max="16" width="16.0"/>
    <col customWidth="1" min="17" max="17" width="15.75"/>
    <col customWidth="1" min="18" max="18" width="5.88"/>
    <col customWidth="1" min="19" max="19" width="16.25"/>
    <col customWidth="1" min="20" max="20" width="14.25"/>
    <col customWidth="1" min="21" max="21" width="7.0"/>
    <col customWidth="1" min="22" max="22" width="16.25"/>
    <col customWidth="1" min="23" max="23" width="14.25"/>
    <col customWidth="1" min="24" max="26" width="10.63"/>
  </cols>
  <sheetData>
    <row r="1">
      <c r="A1" s="1" t="s">
        <v>0</v>
      </c>
      <c r="B1" s="1">
        <f t="shared" ref="B1:B2" si="1">C1*13</f>
        <v>208</v>
      </c>
      <c r="C1" s="1">
        <f t="shared" ref="C1:C2" si="2">D1-YEAR(TODAY())</f>
        <v>16</v>
      </c>
      <c r="D1" s="1">
        <f>1977+65</f>
        <v>2042</v>
      </c>
      <c r="G1" s="1" t="s">
        <v>1</v>
      </c>
      <c r="H1" s="2">
        <v>0.02</v>
      </c>
      <c r="J1" s="3" t="s">
        <v>2</v>
      </c>
      <c r="K1" s="4">
        <v>0.01</v>
      </c>
      <c r="M1" s="1" t="s">
        <v>3</v>
      </c>
      <c r="N1" s="2">
        <v>0.0</v>
      </c>
      <c r="P1" s="3" t="s">
        <v>4</v>
      </c>
      <c r="Q1" s="5">
        <v>0.0</v>
      </c>
      <c r="S1" s="1" t="s">
        <v>5</v>
      </c>
      <c r="T1" s="2">
        <v>0.0</v>
      </c>
      <c r="V1" s="3" t="s">
        <v>6</v>
      </c>
      <c r="W1" s="5">
        <v>0.0</v>
      </c>
    </row>
    <row r="2">
      <c r="A2" s="3" t="s">
        <v>7</v>
      </c>
      <c r="B2" s="3">
        <f t="shared" si="1"/>
        <v>273</v>
      </c>
      <c r="C2" s="3">
        <f t="shared" si="2"/>
        <v>21</v>
      </c>
      <c r="D2" s="3">
        <f>1982+65</f>
        <v>2047</v>
      </c>
      <c r="G2" s="1" t="s">
        <v>8</v>
      </c>
      <c r="H2" s="1">
        <f>(C12+C15)*26+C34*B15</f>
        <v>31856.58629</v>
      </c>
      <c r="J2" s="3" t="s">
        <v>8</v>
      </c>
      <c r="K2" s="3">
        <f>(E12+E15)*24</f>
        <v>8120</v>
      </c>
      <c r="M2" s="1" t="s">
        <v>9</v>
      </c>
      <c r="N2" s="6">
        <f>C21</f>
        <v>604.8333333</v>
      </c>
      <c r="P2" s="3" t="s">
        <v>9</v>
      </c>
      <c r="Q2" s="7">
        <f>E21</f>
        <v>605</v>
      </c>
      <c r="S2" s="1" t="s">
        <v>9</v>
      </c>
      <c r="T2" s="1">
        <f>C20</f>
        <v>1500</v>
      </c>
      <c r="V2" s="3" t="s">
        <v>9</v>
      </c>
      <c r="W2" s="3">
        <f>E20</f>
        <v>200</v>
      </c>
    </row>
    <row r="3">
      <c r="G3" s="1" t="s">
        <v>10</v>
      </c>
      <c r="H3" s="1">
        <f>C22*12</f>
        <v>12000</v>
      </c>
      <c r="J3" s="3" t="s">
        <v>10</v>
      </c>
      <c r="K3" s="3">
        <f>E22*12</f>
        <v>12000</v>
      </c>
      <c r="M3" s="1" t="s">
        <v>11</v>
      </c>
      <c r="N3" s="1">
        <v>32000.0</v>
      </c>
      <c r="P3" s="3" t="s">
        <v>11</v>
      </c>
      <c r="Q3" s="3">
        <v>14000.0</v>
      </c>
      <c r="S3" s="1" t="s">
        <v>11</v>
      </c>
      <c r="T3" s="8">
        <v>77000.0</v>
      </c>
      <c r="V3" s="3" t="s">
        <v>11</v>
      </c>
      <c r="W3" s="3">
        <f>80000+300000</f>
        <v>380000</v>
      </c>
    </row>
    <row r="4">
      <c r="B4" s="9"/>
      <c r="C4" s="9" t="s">
        <v>12</v>
      </c>
      <c r="D4" s="10"/>
      <c r="E4" s="10" t="s">
        <v>13</v>
      </c>
      <c r="G4" s="9" t="s">
        <v>14</v>
      </c>
      <c r="H4" s="9">
        <f>H3+H2</f>
        <v>43856.58629</v>
      </c>
      <c r="J4" s="10" t="s">
        <v>14</v>
      </c>
      <c r="K4" s="10">
        <f>K3+K2</f>
        <v>20120</v>
      </c>
      <c r="M4" s="1"/>
      <c r="N4" s="1">
        <f>N2*12</f>
        <v>7258</v>
      </c>
      <c r="P4" s="3"/>
      <c r="Q4" s="3">
        <f>Q2*12</f>
        <v>7260</v>
      </c>
      <c r="S4" s="1"/>
      <c r="T4" s="1"/>
      <c r="V4" s="3"/>
      <c r="W4" s="3"/>
    </row>
    <row r="5">
      <c r="A5" s="11" t="s">
        <v>15</v>
      </c>
      <c r="B5" s="1"/>
      <c r="C5" s="1">
        <v>9078.0</v>
      </c>
      <c r="D5" s="3"/>
      <c r="E5" s="3">
        <v>4800.0</v>
      </c>
      <c r="G5" s="1"/>
      <c r="H5" s="1"/>
      <c r="J5" s="3"/>
      <c r="K5" s="3"/>
      <c r="M5" s="1"/>
      <c r="N5" s="1"/>
      <c r="P5" s="3"/>
      <c r="Q5" s="3"/>
      <c r="S5" s="1"/>
      <c r="T5" s="1"/>
      <c r="V5" s="3"/>
      <c r="W5" s="3"/>
    </row>
    <row r="6">
      <c r="A6" s="11" t="s">
        <v>16</v>
      </c>
      <c r="B6" s="1"/>
      <c r="C6" s="1">
        <v>200.0</v>
      </c>
      <c r="D6" s="3"/>
      <c r="E6" s="3"/>
      <c r="G6" s="1" t="s">
        <v>17</v>
      </c>
      <c r="H6" s="12">
        <f>FV(H1/12, B1, -(C12+C15), 0, 1)</f>
        <v>297297.5224</v>
      </c>
      <c r="J6" s="3" t="s">
        <v>17</v>
      </c>
      <c r="K6" s="13">
        <f>FV(K1/12, B2, -(E12+E15), 0, 1)</f>
        <v>103753.8224</v>
      </c>
      <c r="M6" s="9" t="s">
        <v>18</v>
      </c>
      <c r="N6" s="14">
        <f>FV(N1/12,B1, -( N2),- N3, 1)-10%*FV(N1/12,B1, -( N2),- N3, 1)</f>
        <v>142024.8</v>
      </c>
      <c r="P6" s="10" t="s">
        <v>18</v>
      </c>
      <c r="Q6" s="15">
        <f>FV(Q1/12,B2, -( Q2),- Q3, 1)-10%*FV(Q1/12,B2, -( Q2),- Q3, 1)</f>
        <v>161248.5</v>
      </c>
      <c r="S6" s="9" t="s">
        <v>19</v>
      </c>
      <c r="T6" s="14">
        <f>FV(T1/12, B1, -(T2),- T3, 1)</f>
        <v>389000</v>
      </c>
      <c r="V6" s="10" t="s">
        <v>19</v>
      </c>
      <c r="W6" s="15">
        <f>FV(W1/12, E1, -(W2),- W3, 1)</f>
        <v>380000</v>
      </c>
    </row>
    <row r="7">
      <c r="A7" s="11" t="s">
        <v>20</v>
      </c>
      <c r="B7" s="1"/>
      <c r="C7" s="1">
        <v>100.0</v>
      </c>
      <c r="D7" s="3"/>
      <c r="E7" s="3"/>
      <c r="G7" s="1" t="s">
        <v>21</v>
      </c>
      <c r="H7" s="12">
        <f>FV(H1, C1, -(H3), 0, 1)</f>
        <v>228144.8515</v>
      </c>
      <c r="J7" s="3" t="s">
        <v>22</v>
      </c>
      <c r="K7" s="13">
        <f>FV(K1, 4, -(K3), 0, 1)</f>
        <v>49212.06012</v>
      </c>
    </row>
    <row r="8">
      <c r="A8" s="16" t="s">
        <v>23</v>
      </c>
      <c r="B8" s="1"/>
      <c r="C8" s="9">
        <f>SUM(C5:C7)</f>
        <v>9378</v>
      </c>
      <c r="D8" s="3"/>
      <c r="E8" s="10">
        <v>4900.0</v>
      </c>
      <c r="G8" s="9" t="s">
        <v>24</v>
      </c>
      <c r="H8" s="14">
        <f>H6+H7</f>
        <v>525442.374</v>
      </c>
      <c r="J8" s="10" t="s">
        <v>24</v>
      </c>
      <c r="K8" s="15">
        <f>K6+K7</f>
        <v>152965.8825</v>
      </c>
    </row>
    <row r="9">
      <c r="A9" s="17" t="s">
        <v>25</v>
      </c>
      <c r="B9" s="1"/>
      <c r="C9" s="8">
        <v>7400.0</v>
      </c>
      <c r="D9" s="3"/>
      <c r="E9" s="3">
        <f>40600/12</f>
        <v>3383.333333</v>
      </c>
      <c r="G9" s="1"/>
      <c r="H9" s="1"/>
      <c r="J9" s="3"/>
      <c r="K9" s="3"/>
    </row>
    <row r="10">
      <c r="A10" s="11" t="s">
        <v>26</v>
      </c>
      <c r="B10" s="18">
        <v>0.0017</v>
      </c>
      <c r="C10" s="1">
        <f t="shared" ref="C10:C14" si="3">$C$8*B10</f>
        <v>15.9426</v>
      </c>
      <c r="D10" s="19">
        <v>0.0017</v>
      </c>
      <c r="E10" s="3">
        <f>D10*E8</f>
        <v>8.33</v>
      </c>
      <c r="G10" s="9" t="s">
        <v>27</v>
      </c>
      <c r="H10" s="14">
        <f>H8*0.05/24</f>
        <v>1094.671612</v>
      </c>
      <c r="J10" s="10" t="s">
        <v>27</v>
      </c>
      <c r="K10" s="15">
        <f>K8*0.05/24</f>
        <v>318.6789219</v>
      </c>
      <c r="N10" s="20"/>
    </row>
    <row r="11">
      <c r="A11" s="11" t="s">
        <v>28</v>
      </c>
      <c r="B11" s="18">
        <v>0.001</v>
      </c>
      <c r="C11" s="1">
        <f t="shared" si="3"/>
        <v>9.378</v>
      </c>
      <c r="D11" s="19">
        <v>0.001</v>
      </c>
      <c r="E11" s="3">
        <f>D11*E8</f>
        <v>4.9</v>
      </c>
      <c r="G11" s="1" t="s">
        <v>29</v>
      </c>
      <c r="H11" s="1"/>
      <c r="J11" s="3" t="s">
        <v>29</v>
      </c>
      <c r="K11" s="3"/>
      <c r="N11" s="20"/>
    </row>
    <row r="12">
      <c r="A12" s="11" t="s">
        <v>30</v>
      </c>
      <c r="B12" s="21">
        <v>0.04</v>
      </c>
      <c r="C12" s="1">
        <f t="shared" si="3"/>
        <v>375.12</v>
      </c>
      <c r="D12" s="3">
        <v>0.0</v>
      </c>
      <c r="E12" s="3">
        <f>D12*E8</f>
        <v>0</v>
      </c>
      <c r="G12" s="9" t="s">
        <v>31</v>
      </c>
      <c r="H12" s="14">
        <f>H8/2-(0.1*H8/2)</f>
        <v>236449.0683</v>
      </c>
      <c r="J12" s="10" t="s">
        <v>31</v>
      </c>
      <c r="K12" s="15">
        <f>K8/2-(0.1*K8/2)</f>
        <v>68834.64712</v>
      </c>
    </row>
    <row r="13">
      <c r="A13" s="11" t="s">
        <v>32</v>
      </c>
      <c r="B13" s="18">
        <v>0.053</v>
      </c>
      <c r="C13" s="1">
        <f t="shared" si="3"/>
        <v>497.034</v>
      </c>
      <c r="D13" s="19">
        <v>0.053</v>
      </c>
      <c r="E13" s="3">
        <f>D13*E8</f>
        <v>259.7</v>
      </c>
    </row>
    <row r="14">
      <c r="A14" s="11" t="s">
        <v>33</v>
      </c>
      <c r="B14" s="18">
        <v>0.011</v>
      </c>
      <c r="C14" s="1">
        <f t="shared" si="3"/>
        <v>103.158</v>
      </c>
      <c r="D14" s="19">
        <v>0.011</v>
      </c>
      <c r="E14" s="3">
        <f t="shared" ref="E14:E15" si="4">D14*E8</f>
        <v>53.9</v>
      </c>
      <c r="G14" s="1" t="s">
        <v>34</v>
      </c>
      <c r="H14" s="8">
        <v>500000.0</v>
      </c>
      <c r="J14" s="3" t="s">
        <v>35</v>
      </c>
      <c r="K14" s="3">
        <v>50000.0</v>
      </c>
      <c r="M14" s="16"/>
      <c r="N14" s="22"/>
    </row>
    <row r="15">
      <c r="A15" s="11" t="s">
        <v>36</v>
      </c>
      <c r="B15" s="18">
        <v>0.1108</v>
      </c>
      <c r="C15" s="1">
        <f>$C$9*B15</f>
        <v>819.92</v>
      </c>
      <c r="D15" s="5">
        <v>0.1</v>
      </c>
      <c r="E15" s="3">
        <f t="shared" si="4"/>
        <v>338.3333333</v>
      </c>
      <c r="G15" s="1" t="s">
        <v>37</v>
      </c>
      <c r="H15" s="23">
        <f>H14/B1</f>
        <v>2403.846154</v>
      </c>
      <c r="J15" s="3" t="s">
        <v>38</v>
      </c>
      <c r="K15" s="24">
        <f>K14/B1</f>
        <v>240.3846154</v>
      </c>
    </row>
    <row r="16">
      <c r="A16" s="11" t="s">
        <v>39</v>
      </c>
      <c r="B16" s="18">
        <v>0.001</v>
      </c>
      <c r="C16" s="1">
        <f>$C$8*B16</f>
        <v>9.378</v>
      </c>
      <c r="D16" s="3"/>
      <c r="E16" s="3">
        <f>D16*E9</f>
        <v>0</v>
      </c>
    </row>
    <row r="17">
      <c r="A17" s="16" t="s">
        <v>40</v>
      </c>
      <c r="B17" s="1"/>
      <c r="C17" s="9">
        <f>SUM(C10:C16)</f>
        <v>1829.9306</v>
      </c>
      <c r="D17" s="3"/>
      <c r="E17" s="10">
        <f>SUM(E10:E16)</f>
        <v>665.1633333</v>
      </c>
    </row>
    <row r="18">
      <c r="B18" s="1"/>
      <c r="C18" s="1"/>
      <c r="D18" s="3"/>
      <c r="E18" s="3"/>
      <c r="G18" s="25" t="s">
        <v>41</v>
      </c>
      <c r="H18" s="26">
        <f>H12+K12+N6+Q6+T6+W6</f>
        <v>1377557.015</v>
      </c>
      <c r="I18" s="27"/>
      <c r="J18" s="27"/>
      <c r="K18" s="28"/>
    </row>
    <row r="19">
      <c r="A19" s="16" t="s">
        <v>42</v>
      </c>
      <c r="B19" s="9"/>
      <c r="C19" s="9">
        <f>C8-C17</f>
        <v>7548.0694</v>
      </c>
      <c r="D19" s="3"/>
      <c r="E19" s="10">
        <f>E8-E17</f>
        <v>4234.836667</v>
      </c>
      <c r="G19" s="29" t="s">
        <v>43</v>
      </c>
      <c r="H19" s="20">
        <f>H18/(25*12)</f>
        <v>4591.856718</v>
      </c>
      <c r="I19" s="30"/>
      <c r="J19" s="30"/>
      <c r="K19" s="31"/>
    </row>
    <row r="20">
      <c r="A20" s="17" t="s">
        <v>44</v>
      </c>
      <c r="B20" s="1"/>
      <c r="C20" s="1">
        <v>1500.0</v>
      </c>
      <c r="D20" s="3"/>
      <c r="E20" s="3">
        <v>200.0</v>
      </c>
      <c r="G20" s="29" t="s">
        <v>45</v>
      </c>
      <c r="H20" s="20">
        <f>H10</f>
        <v>1094.671612</v>
      </c>
      <c r="I20" s="30"/>
      <c r="J20" s="30"/>
      <c r="K20" s="31"/>
    </row>
    <row r="21" ht="15.75" customHeight="1">
      <c r="A21" s="11" t="s">
        <v>46</v>
      </c>
      <c r="B21" s="1"/>
      <c r="C21" s="23">
        <f>7258/12</f>
        <v>604.8333333</v>
      </c>
      <c r="D21" s="3"/>
      <c r="E21" s="3">
        <v>605.0</v>
      </c>
      <c r="G21" s="29" t="s">
        <v>47</v>
      </c>
      <c r="H21" s="20">
        <f>K10</f>
        <v>318.6789219</v>
      </c>
      <c r="I21" s="30"/>
      <c r="J21" s="30"/>
      <c r="K21" s="31"/>
    </row>
    <row r="22" ht="15.75" customHeight="1">
      <c r="A22" s="11" t="s">
        <v>48</v>
      </c>
      <c r="B22" s="1"/>
      <c r="C22" s="8">
        <v>1000.0</v>
      </c>
      <c r="D22" s="3"/>
      <c r="E22" s="3">
        <v>1000.0</v>
      </c>
      <c r="G22" s="29" t="s">
        <v>49</v>
      </c>
      <c r="H22" s="30">
        <v>2500.0</v>
      </c>
      <c r="I22" s="30"/>
      <c r="J22" s="30" t="s">
        <v>50</v>
      </c>
      <c r="K22" s="31"/>
    </row>
    <row r="23" ht="15.75" customHeight="1">
      <c r="A23" s="11" t="s">
        <v>51</v>
      </c>
      <c r="B23" s="1"/>
      <c r="C23" s="8">
        <v>450.0</v>
      </c>
      <c r="D23" s="32"/>
      <c r="E23" s="32">
        <v>400.0</v>
      </c>
      <c r="G23" s="33" t="s">
        <v>14</v>
      </c>
      <c r="H23" s="34">
        <f>SUM(H19:H22)</f>
        <v>8505.207252</v>
      </c>
      <c r="I23" s="30"/>
      <c r="J23" s="35">
        <f>(C19*13.9+E19*12)/12</f>
        <v>12978.01706</v>
      </c>
      <c r="K23" s="31"/>
    </row>
    <row r="24" ht="15.75" customHeight="1">
      <c r="A24" s="11" t="s">
        <v>52</v>
      </c>
      <c r="B24" s="1"/>
      <c r="C24" s="1">
        <f>1850/2</f>
        <v>925</v>
      </c>
      <c r="D24" s="3"/>
      <c r="E24" s="32">
        <v>925.0</v>
      </c>
      <c r="G24" s="33" t="s">
        <v>53</v>
      </c>
      <c r="H24" s="36">
        <f>H23/J23</f>
        <v>0.6553549141</v>
      </c>
      <c r="I24" s="30"/>
      <c r="J24" s="30"/>
      <c r="K24" s="31"/>
    </row>
    <row r="25" ht="15.75" customHeight="1">
      <c r="A25" s="11" t="s">
        <v>54</v>
      </c>
      <c r="B25" s="1"/>
      <c r="C25" s="1">
        <v>300.0</v>
      </c>
      <c r="D25" s="3"/>
      <c r="E25" s="3">
        <v>300.0</v>
      </c>
      <c r="G25" s="29"/>
      <c r="H25" s="30"/>
      <c r="I25" s="30"/>
      <c r="J25" s="30"/>
      <c r="K25" s="31"/>
    </row>
    <row r="26" ht="15.75" customHeight="1">
      <c r="A26" s="11" t="s">
        <v>55</v>
      </c>
      <c r="B26" s="1"/>
      <c r="C26" s="1">
        <v>200.0</v>
      </c>
      <c r="D26" s="3"/>
      <c r="E26" s="3"/>
      <c r="F26" s="37" t="s">
        <v>56</v>
      </c>
      <c r="G26" s="29"/>
      <c r="H26" s="30"/>
      <c r="I26" s="30"/>
      <c r="J26" s="30"/>
      <c r="K26" s="31"/>
    </row>
    <row r="27" ht="15.75" customHeight="1">
      <c r="A27" s="11" t="s">
        <v>57</v>
      </c>
      <c r="B27" s="1"/>
      <c r="C27" s="23">
        <f>F27*0.7</f>
        <v>708.4151526</v>
      </c>
      <c r="D27" s="3"/>
      <c r="E27" s="3">
        <f>F27*0.3</f>
        <v>303.606494</v>
      </c>
      <c r="F27" s="38">
        <f>((C19*13.9+4500*12)-(C21+C22+800)*24)*12%/12</f>
        <v>1012.021647</v>
      </c>
      <c r="G27" s="29"/>
      <c r="H27" s="30"/>
      <c r="I27" s="30"/>
      <c r="J27" s="30"/>
      <c r="K27" s="31"/>
    </row>
    <row r="28" ht="15.75" customHeight="1">
      <c r="B28" s="1"/>
      <c r="C28" s="1"/>
      <c r="D28" s="3"/>
      <c r="E28" s="3"/>
      <c r="G28" s="29" t="s">
        <v>58</v>
      </c>
      <c r="H28" s="30">
        <v>11746.0</v>
      </c>
      <c r="I28" s="39">
        <v>0.05</v>
      </c>
      <c r="J28" s="30" t="s">
        <v>59</v>
      </c>
      <c r="K28" s="40">
        <f t="shared" ref="K28:K30" si="5">H28/$J$23</f>
        <v>0.9050689293</v>
      </c>
    </row>
    <row r="29" ht="15.75" customHeight="1">
      <c r="B29" s="1"/>
      <c r="C29" s="1"/>
      <c r="D29" s="3"/>
      <c r="E29" s="3"/>
      <c r="G29" s="29" t="s">
        <v>60</v>
      </c>
      <c r="H29" s="30">
        <v>11459.0</v>
      </c>
      <c r="I29" s="39">
        <v>0.05</v>
      </c>
      <c r="J29" s="30" t="s">
        <v>61</v>
      </c>
      <c r="K29" s="40">
        <f t="shared" si="5"/>
        <v>0.882954611</v>
      </c>
    </row>
    <row r="30" ht="15.75" customHeight="1">
      <c r="A30" s="16" t="s">
        <v>62</v>
      </c>
      <c r="B30" s="9"/>
      <c r="C30" s="9">
        <f>C19-SUM(C20:C27)+C28</f>
        <v>1859.820914</v>
      </c>
      <c r="D30" s="3"/>
      <c r="E30" s="3">
        <f>E19-SUM(E20:E28)</f>
        <v>501.2301727</v>
      </c>
      <c r="G30" s="41" t="s">
        <v>63</v>
      </c>
      <c r="H30" s="42">
        <v>10640.0</v>
      </c>
      <c r="I30" s="43">
        <v>0.05</v>
      </c>
      <c r="J30" s="42" t="s">
        <v>64</v>
      </c>
      <c r="K30" s="44">
        <f t="shared" si="5"/>
        <v>0.8198478978</v>
      </c>
    </row>
    <row r="31" ht="15.75" customHeight="1">
      <c r="A31" s="16" t="s">
        <v>65</v>
      </c>
      <c r="B31" s="1"/>
      <c r="C31" s="9">
        <f>(C19+C34)/12</f>
        <v>1219.819783</v>
      </c>
      <c r="D31" s="3"/>
      <c r="E31" s="3"/>
    </row>
    <row r="32" ht="15.75" customHeight="1">
      <c r="A32" s="11" t="s">
        <v>66</v>
      </c>
      <c r="B32" s="1"/>
      <c r="C32" s="9">
        <f>C31+C30</f>
        <v>3079.640697</v>
      </c>
      <c r="D32" s="3"/>
      <c r="E32" s="3"/>
    </row>
    <row r="33" ht="15.75" customHeight="1">
      <c r="B33" s="1"/>
      <c r="C33" s="1" t="s">
        <v>67</v>
      </c>
      <c r="D33" s="3"/>
      <c r="E33" s="3"/>
    </row>
    <row r="34" ht="15.75" customHeight="1">
      <c r="B34" s="1"/>
      <c r="C34" s="9">
        <f>7%*0.9*C8*12</f>
        <v>7089.768</v>
      </c>
      <c r="D34" s="3"/>
      <c r="E34" s="3"/>
    </row>
    <row r="35" ht="15.75" customHeight="1"/>
    <row r="36" ht="15.75" customHeight="1"/>
    <row r="37" ht="15.75" customHeight="1">
      <c r="D37" s="17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2025-12-22T08:15:09Z</dcterms:created>
  <dc:creator>Julien Battaglia</dc:creator>
</cp:coreProperties>
</file>