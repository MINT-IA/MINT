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battaglia\Downloads\PREV\"/>
    </mc:Choice>
  </mc:AlternateContent>
  <xr:revisionPtr revIDLastSave="0" documentId="13_ncr:1_{A40679CC-3D9B-49EF-AF9B-0AB785579158}" xr6:coauthVersionLast="47" xr6:coauthVersionMax="47" xr10:uidLastSave="{00000000-0000-0000-0000-000000000000}"/>
  <bookViews>
    <workbookView xWindow="28680" yWindow="-120" windowWidth="29040" windowHeight="15720" xr2:uid="{91DF57A5-60A1-48A8-99A6-7E7DC310EA5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0" i="1" l="1"/>
  <c r="K29" i="1"/>
  <c r="K28" i="1"/>
  <c r="J23" i="1"/>
  <c r="W3" i="1"/>
  <c r="W2" i="1"/>
  <c r="Q2" i="1"/>
  <c r="K7" i="1"/>
  <c r="C2" i="1"/>
  <c r="B2" i="1" s="1"/>
  <c r="K6" i="1" s="1"/>
  <c r="D2" i="1"/>
  <c r="K3" i="1"/>
  <c r="E10" i="1" a="1"/>
  <c r="E10" i="1" s="1"/>
  <c r="H3" i="1"/>
  <c r="T2" i="1"/>
  <c r="C21" i="1"/>
  <c r="N2" i="1"/>
  <c r="N4" i="1" s="1"/>
  <c r="C8" i="1"/>
  <c r="C10" i="1" s="1" a="1"/>
  <c r="C10" i="1" s="1"/>
  <c r="D1" i="1"/>
  <c r="C1" i="1" s="1"/>
  <c r="Q6" i="1" l="1"/>
  <c r="W6" i="1"/>
  <c r="Q4" i="1"/>
  <c r="K8" i="1"/>
  <c r="K12" i="1" s="1"/>
  <c r="H2" i="1"/>
  <c r="K2" i="1"/>
  <c r="K4" i="1"/>
  <c r="E17" i="1"/>
  <c r="E19" i="1" s="1"/>
  <c r="E30" i="1" s="1"/>
  <c r="B1" i="1"/>
  <c r="H7" i="1"/>
  <c r="C34" i="1"/>
  <c r="C17" i="1"/>
  <c r="C19" i="1" s="1"/>
  <c r="C31" i="1" s="1"/>
  <c r="H15" i="1" l="1"/>
  <c r="K15" i="1"/>
  <c r="K10" i="1"/>
  <c r="H21" i="1" s="1"/>
  <c r="H6" i="1"/>
  <c r="H8" i="1" s="1"/>
  <c r="H12" i="1" s="1"/>
  <c r="N6" i="1"/>
  <c r="H4" i="1"/>
  <c r="F27" i="1"/>
  <c r="C27" i="1" s="1"/>
  <c r="C30" i="1" s="1"/>
  <c r="C32" i="1" s="1"/>
  <c r="T6" i="1"/>
  <c r="H18" i="1" l="1"/>
  <c r="H19" i="1" s="1"/>
  <c r="H10" i="1"/>
  <c r="H20" i="1" s="1"/>
  <c r="H23" i="1" l="1"/>
  <c r="H24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<sst xmlns="http://schemas.openxmlformats.org/spreadsheetml/2006/main" count="85" uniqueCount="66">
  <si>
    <t xml:space="preserve">Allocation </t>
  </si>
  <si>
    <t>Forfait</t>
  </si>
  <si>
    <t xml:space="preserve">Cotisaiton CAF </t>
  </si>
  <si>
    <t>CP Prime risque</t>
  </si>
  <si>
    <t>LPP facultatif</t>
  </si>
  <si>
    <t>AVS</t>
  </si>
  <si>
    <t>AC</t>
  </si>
  <si>
    <t>LPP</t>
  </si>
  <si>
    <t>LPP Risque</t>
  </si>
  <si>
    <t>Brut</t>
  </si>
  <si>
    <t>Net</t>
  </si>
  <si>
    <t>LPP mens</t>
  </si>
  <si>
    <t>LPP Rachat</t>
  </si>
  <si>
    <t>Total</t>
  </si>
  <si>
    <t>VA_future_mens</t>
  </si>
  <si>
    <t>Epargne</t>
  </si>
  <si>
    <t>Capital depart</t>
  </si>
  <si>
    <t>VA_future_mens:</t>
  </si>
  <si>
    <t>Lauren</t>
  </si>
  <si>
    <t>3a</t>
  </si>
  <si>
    <t>assurance maladie</t>
  </si>
  <si>
    <t>Loyer</t>
  </si>
  <si>
    <t>couple</t>
  </si>
  <si>
    <t>assurances</t>
  </si>
  <si>
    <t>Impot</t>
  </si>
  <si>
    <t>Total LPP</t>
  </si>
  <si>
    <t>extra LPP</t>
  </si>
  <si>
    <t>Bonus</t>
  </si>
  <si>
    <t>VA_3a:</t>
  </si>
  <si>
    <t>Rente LPP 50%</t>
  </si>
  <si>
    <t>Total 50% capital LPP</t>
  </si>
  <si>
    <t>LPP Julien</t>
  </si>
  <si>
    <t>LPP Lauren</t>
  </si>
  <si>
    <t>Taux de remplacement</t>
  </si>
  <si>
    <t>Total Vivre</t>
  </si>
  <si>
    <t>taux conv 5%</t>
  </si>
  <si>
    <t>Plus 13 et bonus</t>
  </si>
  <si>
    <t>Total nette à vivre</t>
  </si>
  <si>
    <t>1644 à vivre aujourdhui</t>
  </si>
  <si>
    <t>1884 à vivre aujourd hui</t>
  </si>
  <si>
    <t>rien</t>
  </si>
  <si>
    <t>2644 à vivre aujourd0hui</t>
  </si>
  <si>
    <t>Rente mensuelle issue du capital</t>
  </si>
  <si>
    <t>avs couple</t>
  </si>
  <si>
    <t>Total actuel L&amp;J sur 12 mois net</t>
  </si>
  <si>
    <t>Impôts</t>
  </si>
  <si>
    <t>Salaire mensuel Brut</t>
  </si>
  <si>
    <t>Total Déductions</t>
  </si>
  <si>
    <t>Julien</t>
  </si>
  <si>
    <t>Julien LPP</t>
  </si>
  <si>
    <t>Julien 3a</t>
  </si>
  <si>
    <t>Julien marché</t>
  </si>
  <si>
    <t>Lauren LPP</t>
  </si>
  <si>
    <t>Durée Julien</t>
  </si>
  <si>
    <t>Durée Lauren</t>
  </si>
  <si>
    <t>VA_future_an (max 50k)</t>
  </si>
  <si>
    <t>VA_future_an (max 300000)</t>
  </si>
  <si>
    <t>Lauren 3a</t>
  </si>
  <si>
    <t>Lauren marché</t>
  </si>
  <si>
    <t>Capital net Impôt</t>
  </si>
  <si>
    <t>Julien; extra 1000 dans marché</t>
  </si>
  <si>
    <t>Julien; extra 1000 dans LPP</t>
  </si>
  <si>
    <t>Max Rachat Julien</t>
  </si>
  <si>
    <t>Max rachat Julien/mois</t>
  </si>
  <si>
    <t>Max Rachat Lauren</t>
  </si>
  <si>
    <t>Max rachat Lauren/mois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</si>
</sst>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CHF&quot;;[Red]\-#,##0.00\ &quot;CHF&quot;"/>
    <numFmt numFmtId="43" formatCode="_-* #,##0.00_-;\-* #,##0.00_-;_-* &quot;-&quot;??_-;_-@_-"/>
    <numFmt numFmtId="165" formatCode="0.0%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0">
    <xf numFmtId="0" fontId="0" fillId="0" borderId="0" xfId="0"/>
    <xf numFmtId="8" fontId="0" fillId="0" borderId="0" xfId="0" applyNumberFormat="1"/>
    <xf numFmtId="8" fontId="1" fillId="0" borderId="0" xfId="0" applyNumberFormat="1" applyFont="1"/>
    <xf numFmtId="0" fontId="1" fillId="0" borderId="0" xfId="0" applyFont="1"/>
    <xf numFmtId="2" fontId="0" fillId="0" borderId="0" xfId="0" applyNumberFormat="1"/>
    <xf numFmtId="0" fontId="0" fillId="3" borderId="0" xfId="0" applyFill="1"/>
    <xf numFmtId="9" fontId="0" fillId="3" borderId="0" xfId="0" applyNumberFormat="1" applyFill="1"/>
    <xf numFmtId="0" fontId="1" fillId="3" borderId="0" xfId="0" applyFont="1" applyFill="1"/>
    <xf numFmtId="8" fontId="0" fillId="3" borderId="0" xfId="0" applyNumberFormat="1" applyFill="1"/>
    <xf numFmtId="8" fontId="1" fillId="3" borderId="0" xfId="0" applyNumberFormat="1" applyFont="1" applyFill="1"/>
    <xf numFmtId="2" fontId="0" fillId="3" borderId="0" xfId="0" applyNumberFormat="1" applyFill="1"/>
    <xf numFmtId="0" fontId="0" fillId="4" borderId="0" xfId="0" applyFill="1"/>
    <xf numFmtId="9" fontId="0" fillId="4" borderId="0" xfId="0" applyNumberFormat="1" applyFill="1"/>
    <xf numFmtId="0" fontId="1" fillId="4" borderId="0" xfId="0" applyFont="1" applyFill="1"/>
    <xf numFmtId="8" fontId="0" fillId="4" borderId="0" xfId="0" applyNumberFormat="1" applyFill="1"/>
    <xf numFmtId="8" fontId="1" fillId="4" borderId="0" xfId="0" applyNumberFormat="1" applyFont="1" applyFill="1"/>
    <xf numFmtId="10" fontId="0" fillId="4" borderId="0" xfId="0" applyNumberFormat="1" applyFill="1"/>
    <xf numFmtId="10" fontId="0" fillId="3" borderId="0" xfId="0" applyNumberFormat="1" applyFill="1"/>
    <xf numFmtId="1" fontId="0" fillId="3" borderId="0" xfId="0" applyNumberFormat="1" applyFill="1"/>
    <xf numFmtId="2" fontId="0" fillId="4" borderId="0" xfId="0" applyNumberFormat="1" applyFill="1"/>
    <xf numFmtId="1" fontId="0" fillId="4" borderId="0" xfId="0" applyNumberFormat="1" applyFill="1"/>
    <xf numFmtId="0" fontId="1" fillId="0" borderId="1" xfId="0" applyFont="1" applyBorder="1"/>
    <xf numFmtId="8" fontId="1" fillId="0" borderId="2" xfId="0" applyNumberFormat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8" fontId="0" fillId="0" borderId="0" xfId="0" applyNumberFormat="1" applyBorder="1"/>
    <xf numFmtId="0" fontId="0" fillId="0" borderId="0" xfId="0" applyBorder="1"/>
    <xf numFmtId="0" fontId="0" fillId="0" borderId="5" xfId="0" applyBorder="1"/>
    <xf numFmtId="0" fontId="1" fillId="2" borderId="4" xfId="0" applyFont="1" applyFill="1" applyBorder="1"/>
    <xf numFmtId="8" fontId="1" fillId="2" borderId="0" xfId="0" applyNumberFormat="1" applyFont="1" applyFill="1" applyBorder="1"/>
    <xf numFmtId="0" fontId="1" fillId="2" borderId="0" xfId="0" applyFont="1" applyFill="1" applyBorder="1"/>
    <xf numFmtId="165" fontId="1" fillId="2" borderId="0" xfId="2" applyNumberFormat="1" applyFont="1" applyFill="1" applyBorder="1"/>
    <xf numFmtId="9" fontId="0" fillId="0" borderId="5" xfId="2" applyFont="1" applyBorder="1"/>
    <xf numFmtId="0" fontId="0" fillId="0" borderId="6" xfId="0" applyBorder="1"/>
    <xf numFmtId="0" fontId="0" fillId="0" borderId="7" xfId="0" applyBorder="1"/>
    <xf numFmtId="9" fontId="0" fillId="0" borderId="8" xfId="2" applyFont="1" applyBorder="1"/>
    <xf numFmtId="9" fontId="0" fillId="0" borderId="0" xfId="0" applyNumberFormat="1" applyBorder="1"/>
    <xf numFmtId="9" fontId="0" fillId="0" borderId="7" xfId="0" applyNumberFormat="1" applyBorder="1"/>
    <xf numFmtId="1" fontId="0" fillId="0" borderId="0" xfId="1" applyNumberFormat="1" applyFont="1" applyAlignment="1">
      <alignment horizontal="left"/>
    </xf>
  </cellXfs>
  <cellStyles count="3"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BD4F5-85C1-4C92-B686-610EB25C1270}">
  <dimension ref="A1:W34"/>
  <sheetViews>
    <sheetView tabSelected="1" workbookViewId="0">
      <selection activeCell="N25" sqref="N25"/>
    </sheetView>
  </sheetViews>
  <sheetFormatPr baseColWidth="10" defaultRowHeight="15" x14ac:dyDescent="0.25"/>
  <cols>
    <col min="1" max="1" width="17.85546875" customWidth="1"/>
    <col min="7" max="7" width="24.7109375" bestFit="1" customWidth="1"/>
    <col min="8" max="8" width="15.5703125" customWidth="1"/>
    <col min="9" max="9" width="7.42578125" customWidth="1"/>
    <col min="10" max="10" width="21.7109375" bestFit="1" customWidth="1"/>
    <col min="11" max="11" width="16.140625" customWidth="1"/>
    <col min="12" max="12" width="6.7109375" customWidth="1"/>
    <col min="13" max="13" width="15.28515625" customWidth="1"/>
    <col min="14" max="14" width="19.140625" customWidth="1"/>
    <col min="15" max="15" width="6.42578125" customWidth="1"/>
    <col min="16" max="16" width="16" customWidth="1"/>
    <col min="17" max="17" width="15.7109375" bestFit="1" customWidth="1"/>
    <col min="18" max="18" width="5.85546875" customWidth="1"/>
    <col min="19" max="19" width="16.28515625" bestFit="1" customWidth="1"/>
    <col min="20" max="20" width="14.28515625" bestFit="1" customWidth="1"/>
    <col min="21" max="21" width="7" customWidth="1"/>
    <col min="22" max="22" width="16.28515625" bestFit="1" customWidth="1"/>
    <col min="23" max="23" width="14.28515625" bestFit="1" customWidth="1"/>
  </cols>
  <sheetData>
    <row r="1" spans="1:23" x14ac:dyDescent="0.25">
      <c r="A1" s="5" t="s">
        <v>53</v>
      </c>
      <c r="B1" s="5">
        <f ca="1">C1*13</f>
        <v>208</v>
      </c>
      <c r="C1" s="5">
        <f ca="1">D1-YEAR(TODAY())</f>
        <v>16</v>
      </c>
      <c r="D1" s="5">
        <f>1977+65</f>
        <v>2042</v>
      </c>
      <c r="G1" s="5" t="s">
        <v>49</v>
      </c>
      <c r="H1" s="6">
        <v>0.02</v>
      </c>
      <c r="J1" s="11" t="s">
        <v>52</v>
      </c>
      <c r="K1" s="12">
        <v>0.01</v>
      </c>
      <c r="M1" s="5" t="s">
        <v>50</v>
      </c>
      <c r="N1" s="6">
        <v>0.05</v>
      </c>
      <c r="P1" s="11" t="s">
        <v>57</v>
      </c>
      <c r="Q1" s="12">
        <v>0.02</v>
      </c>
      <c r="S1" s="5" t="s">
        <v>51</v>
      </c>
      <c r="T1" s="6">
        <v>0.05</v>
      </c>
      <c r="V1" s="11" t="s">
        <v>58</v>
      </c>
      <c r="W1" s="12">
        <v>0.05</v>
      </c>
    </row>
    <row r="2" spans="1:23" x14ac:dyDescent="0.25">
      <c r="A2" s="11" t="s">
        <v>54</v>
      </c>
      <c r="B2" s="11">
        <f ca="1">C2*13</f>
        <v>273</v>
      </c>
      <c r="C2" s="11">
        <f ca="1">D2-YEAR(TODAY())</f>
        <v>21</v>
      </c>
      <c r="D2" s="11">
        <f>1982+65</f>
        <v>2047</v>
      </c>
      <c r="G2" s="5" t="s">
        <v>11</v>
      </c>
      <c r="H2" s="5">
        <f>(C12+C15)*13+C34*B15</f>
        <v>19170.177494400003</v>
      </c>
      <c r="J2" s="11" t="s">
        <v>11</v>
      </c>
      <c r="K2" s="11">
        <f>(E12+E15)*12</f>
        <v>8820</v>
      </c>
      <c r="M2" s="5" t="s">
        <v>15</v>
      </c>
      <c r="N2" s="10">
        <f>C21</f>
        <v>604.83333333333337</v>
      </c>
      <c r="P2" s="11" t="s">
        <v>15</v>
      </c>
      <c r="Q2" s="19">
        <f>E21</f>
        <v>605</v>
      </c>
      <c r="S2" s="5" t="s">
        <v>15</v>
      </c>
      <c r="T2" s="5">
        <f>C20</f>
        <v>1500</v>
      </c>
      <c r="V2" s="11" t="s">
        <v>15</v>
      </c>
      <c r="W2" s="11">
        <f>E20</f>
        <v>200</v>
      </c>
    </row>
    <row r="3" spans="1:23" x14ac:dyDescent="0.25">
      <c r="G3" s="5" t="s">
        <v>12</v>
      </c>
      <c r="H3" s="5">
        <f>C22*12</f>
        <v>18000</v>
      </c>
      <c r="J3" s="11" t="s">
        <v>12</v>
      </c>
      <c r="K3" s="11">
        <f>E22*12</f>
        <v>12000</v>
      </c>
      <c r="M3" s="5" t="s">
        <v>16</v>
      </c>
      <c r="N3" s="5">
        <v>32000</v>
      </c>
      <c r="P3" s="11" t="s">
        <v>16</v>
      </c>
      <c r="Q3" s="11">
        <v>14000</v>
      </c>
      <c r="S3" s="5" t="s">
        <v>16</v>
      </c>
      <c r="T3" s="5">
        <v>80000</v>
      </c>
      <c r="V3" s="11" t="s">
        <v>16</v>
      </c>
      <c r="W3" s="11">
        <f>80000+300000</f>
        <v>380000</v>
      </c>
    </row>
    <row r="4" spans="1:23" x14ac:dyDescent="0.25">
      <c r="B4" s="7"/>
      <c r="C4" s="7" t="s">
        <v>48</v>
      </c>
      <c r="D4" s="13"/>
      <c r="E4" s="13" t="s">
        <v>18</v>
      </c>
      <c r="G4" s="7" t="s">
        <v>13</v>
      </c>
      <c r="H4" s="7">
        <f>H3+H2</f>
        <v>37170.177494400006</v>
      </c>
      <c r="J4" s="13" t="s">
        <v>13</v>
      </c>
      <c r="K4" s="13">
        <f>K3+K2</f>
        <v>20820</v>
      </c>
      <c r="M4" s="5"/>
      <c r="N4" s="5">
        <f>N2*12</f>
        <v>7258</v>
      </c>
      <c r="P4" s="11"/>
      <c r="Q4" s="11">
        <f>Q2*12</f>
        <v>7260</v>
      </c>
      <c r="S4" s="5"/>
      <c r="T4" s="5"/>
      <c r="V4" s="11"/>
      <c r="W4" s="11"/>
    </row>
    <row r="5" spans="1:23" x14ac:dyDescent="0.25">
      <c r="A5" t="s">
        <v>46</v>
      </c>
      <c r="B5" s="5"/>
      <c r="C5" s="5">
        <v>9078</v>
      </c>
      <c r="D5" s="11"/>
      <c r="E5" s="11">
        <v>4800</v>
      </c>
      <c r="G5" s="5"/>
      <c r="H5" s="5"/>
      <c r="J5" s="11"/>
      <c r="K5" s="11"/>
      <c r="M5" s="5"/>
      <c r="N5" s="5"/>
      <c r="P5" s="11"/>
      <c r="Q5" s="11"/>
      <c r="S5" s="5"/>
      <c r="T5" s="5"/>
      <c r="V5" s="11"/>
      <c r="W5" s="11"/>
    </row>
    <row r="6" spans="1:23" x14ac:dyDescent="0.25">
      <c r="A6" t="s">
        <v>0</v>
      </c>
      <c r="B6" s="5"/>
      <c r="C6" s="5">
        <v>200</v>
      </c>
      <c r="D6" s="11"/>
      <c r="E6" s="11"/>
      <c r="G6" s="5" t="s">
        <v>14</v>
      </c>
      <c r="H6" s="8">
        <f ca="1">FV(H1/12, B1, -(C12+C15), 0, 1)</f>
        <v>351819.91376576404</v>
      </c>
      <c r="J6" s="11" t="s">
        <v>14</v>
      </c>
      <c r="K6" s="14">
        <f ca="1">FV(K1/12, B2, -(E12+E15), 0, 1)</f>
        <v>225396.23482152738</v>
      </c>
      <c r="M6" s="7" t="s">
        <v>28</v>
      </c>
      <c r="N6" s="9">
        <f ca="1">FV(N1/12,B1, -( N2),- N3, 1)-10%*FV(N1/12,B1, -( N2),- N3, 1)</f>
        <v>248734.08406559614</v>
      </c>
      <c r="P6" s="13" t="s">
        <v>28</v>
      </c>
      <c r="Q6" s="15">
        <f ca="1">FV(Q1/12,B2, -( Q2),- Q3, 1)-10%*FV(Q1/12,B2, -( Q2),- Q3, 1)</f>
        <v>208206.5169854986</v>
      </c>
      <c r="S6" s="7" t="s">
        <v>17</v>
      </c>
      <c r="T6" s="9">
        <f ca="1">FV(T1/12, B1, -(T2),- T3, 1)</f>
        <v>686924.80493086344</v>
      </c>
      <c r="V6" s="13" t="s">
        <v>17</v>
      </c>
      <c r="W6" s="15">
        <f>FV(W1/12, E1, -(W2),- W3, 1)</f>
        <v>380000</v>
      </c>
    </row>
    <row r="7" spans="1:23" x14ac:dyDescent="0.25">
      <c r="A7" t="s">
        <v>1</v>
      </c>
      <c r="B7" s="5"/>
      <c r="C7" s="5">
        <v>100</v>
      </c>
      <c r="D7" s="11"/>
      <c r="E7" s="11"/>
      <c r="G7" s="5" t="s">
        <v>56</v>
      </c>
      <c r="H7" s="8">
        <f ca="1">FV(H1, C1, -(H3), 0, 1)</f>
        <v>342217.27727318188</v>
      </c>
      <c r="J7" s="11" t="s">
        <v>55</v>
      </c>
      <c r="K7" s="14">
        <f>FV(K1, 4, -(K3), 0, 1)</f>
        <v>49212.060120000031</v>
      </c>
    </row>
    <row r="8" spans="1:23" x14ac:dyDescent="0.25">
      <c r="A8" s="3" t="s">
        <v>9</v>
      </c>
      <c r="B8" s="5"/>
      <c r="C8" s="7">
        <f>SUM(C5:C7)</f>
        <v>9378</v>
      </c>
      <c r="D8" s="11"/>
      <c r="E8" s="13">
        <v>4900</v>
      </c>
      <c r="G8" s="7" t="s">
        <v>25</v>
      </c>
      <c r="H8" s="9">
        <f ca="1">H6+H7</f>
        <v>694037.19103894592</v>
      </c>
      <c r="J8" s="13" t="s">
        <v>25</v>
      </c>
      <c r="K8" s="15">
        <f ca="1">K6+K7</f>
        <v>274608.29494152742</v>
      </c>
    </row>
    <row r="9" spans="1:23" x14ac:dyDescent="0.25">
      <c r="B9" s="5"/>
      <c r="C9" s="5"/>
      <c r="D9" s="11"/>
      <c r="E9" s="11"/>
      <c r="G9" s="5"/>
      <c r="H9" s="5"/>
      <c r="J9" s="11"/>
      <c r="K9" s="11"/>
    </row>
    <row r="10" spans="1:23" x14ac:dyDescent="0.25">
      <c r="A10" t="s">
        <v>2</v>
      </c>
      <c r="B10" s="17">
        <v>1.6999999999999999E-3</v>
      </c>
      <c r="C10" s="5" cm="1">
        <f t="array" ref="C10:C16">$C$8*B10:B16</f>
        <v>15.942599999999999</v>
      </c>
      <c r="D10" s="16">
        <v>1.6999999999999999E-3</v>
      </c>
      <c r="E10" s="11" cm="1">
        <f t="array" ref="E10:E16">$E$8*D10:D16</f>
        <v>8.33</v>
      </c>
      <c r="G10" s="7" t="s">
        <v>29</v>
      </c>
      <c r="H10" s="9">
        <f ca="1">H8*0.05/24</f>
        <v>1445.9108146644705</v>
      </c>
      <c r="J10" s="13" t="s">
        <v>29</v>
      </c>
      <c r="K10" s="15">
        <f ca="1">K8*0.05/24</f>
        <v>572.10061446151542</v>
      </c>
      <c r="N10" s="1"/>
    </row>
    <row r="11" spans="1:23" x14ac:dyDescent="0.25">
      <c r="A11" t="s">
        <v>3</v>
      </c>
      <c r="B11" s="17">
        <v>1E-3</v>
      </c>
      <c r="C11" s="5">
        <v>9.3780000000000001</v>
      </c>
      <c r="D11" s="16">
        <v>1E-3</v>
      </c>
      <c r="E11" s="11">
        <v>4.9000000000000004</v>
      </c>
      <c r="G11" s="5" t="s">
        <v>35</v>
      </c>
      <c r="H11" s="5"/>
      <c r="J11" s="11" t="s">
        <v>35</v>
      </c>
      <c r="K11" s="11"/>
      <c r="N11" s="1"/>
    </row>
    <row r="12" spans="1:23" x14ac:dyDescent="0.25">
      <c r="A12" t="s">
        <v>4</v>
      </c>
      <c r="B12" s="6">
        <v>0.04</v>
      </c>
      <c r="C12" s="5">
        <v>375.12</v>
      </c>
      <c r="D12" s="11">
        <v>0</v>
      </c>
      <c r="E12" s="11">
        <v>0</v>
      </c>
      <c r="G12" s="7" t="s">
        <v>59</v>
      </c>
      <c r="H12" s="9">
        <f ca="1">H8/2-(0.1*H8/2)</f>
        <v>312316.73596752569</v>
      </c>
      <c r="J12" s="13" t="s">
        <v>59</v>
      </c>
      <c r="K12" s="15">
        <f ca="1">K8/2-(0.1*K8/2)</f>
        <v>123573.73272368734</v>
      </c>
    </row>
    <row r="13" spans="1:23" x14ac:dyDescent="0.25">
      <c r="A13" t="s">
        <v>5</v>
      </c>
      <c r="B13" s="17">
        <v>5.2999999999999999E-2</v>
      </c>
      <c r="C13" s="5">
        <v>497.03399999999999</v>
      </c>
      <c r="D13" s="16">
        <v>5.2999999999999999E-2</v>
      </c>
      <c r="E13" s="11">
        <v>259.7</v>
      </c>
    </row>
    <row r="14" spans="1:23" x14ac:dyDescent="0.25">
      <c r="A14" t="s">
        <v>6</v>
      </c>
      <c r="B14" s="17">
        <v>1.0999999999999999E-2</v>
      </c>
      <c r="C14" s="5">
        <v>103.15799999999999</v>
      </c>
      <c r="D14" s="16">
        <v>1.0999999999999999E-2</v>
      </c>
      <c r="E14" s="11">
        <v>53.9</v>
      </c>
      <c r="G14" s="5" t="s">
        <v>62</v>
      </c>
      <c r="H14" s="5">
        <v>300000</v>
      </c>
      <c r="J14" s="11" t="s">
        <v>64</v>
      </c>
      <c r="K14" s="11">
        <v>50000</v>
      </c>
      <c r="M14" s="3"/>
      <c r="N14" s="2"/>
    </row>
    <row r="15" spans="1:23" x14ac:dyDescent="0.25">
      <c r="A15" t="s">
        <v>7</v>
      </c>
      <c r="B15" s="17">
        <v>0.1108</v>
      </c>
      <c r="C15" s="5">
        <v>1039.0824</v>
      </c>
      <c r="D15" s="12">
        <v>0.15</v>
      </c>
      <c r="E15" s="11">
        <v>735</v>
      </c>
      <c r="G15" s="5" t="s">
        <v>63</v>
      </c>
      <c r="H15" s="18">
        <f ca="1">H14/B1</f>
        <v>1442.3076923076924</v>
      </c>
      <c r="J15" s="11" t="s">
        <v>65</v>
      </c>
      <c r="K15" s="20">
        <f ca="1">K14/B1</f>
        <v>240.38461538461539</v>
      </c>
    </row>
    <row r="16" spans="1:23" x14ac:dyDescent="0.25">
      <c r="A16" t="s">
        <v>8</v>
      </c>
      <c r="B16" s="17">
        <v>1E-3</v>
      </c>
      <c r="C16" s="5">
        <v>9.3780000000000001</v>
      </c>
      <c r="D16" s="11"/>
      <c r="E16" s="11">
        <v>0</v>
      </c>
    </row>
    <row r="17" spans="1:11" ht="15.75" thickBot="1" x14ac:dyDescent="0.3">
      <c r="A17" s="3" t="s">
        <v>47</v>
      </c>
      <c r="B17" s="5"/>
      <c r="C17" s="7">
        <f>SUM(_xlfn.ANCHORARRAY(C10))</f>
        <v>2049.0930000000003</v>
      </c>
      <c r="D17" s="11"/>
      <c r="E17" s="13">
        <f>SUM(_xlfn.ANCHORARRAY(E10))</f>
        <v>1061.83</v>
      </c>
    </row>
    <row r="18" spans="1:11" x14ac:dyDescent="0.25">
      <c r="B18" s="5"/>
      <c r="C18" s="5"/>
      <c r="D18" s="11"/>
      <c r="E18" s="11"/>
      <c r="G18" s="21" t="s">
        <v>30</v>
      </c>
      <c r="H18" s="22">
        <f ca="1">H12+K12+N6+Q6+T6+W6</f>
        <v>1959755.8746731712</v>
      </c>
      <c r="I18" s="23"/>
      <c r="J18" s="23"/>
      <c r="K18" s="24"/>
    </row>
    <row r="19" spans="1:11" x14ac:dyDescent="0.25">
      <c r="A19" s="3" t="s">
        <v>10</v>
      </c>
      <c r="B19" s="7"/>
      <c r="C19" s="7">
        <f>C8-C17</f>
        <v>7328.9069999999992</v>
      </c>
      <c r="D19" s="11"/>
      <c r="E19" s="13">
        <f>E8-E17</f>
        <v>3838.17</v>
      </c>
      <c r="G19" s="25" t="s">
        <v>42</v>
      </c>
      <c r="H19" s="26">
        <f ca="1">H18/(25*12)</f>
        <v>6532.5195822439036</v>
      </c>
      <c r="I19" s="27"/>
      <c r="J19" s="27"/>
      <c r="K19" s="28"/>
    </row>
    <row r="20" spans="1:11" x14ac:dyDescent="0.25">
      <c r="A20" t="s">
        <v>15</v>
      </c>
      <c r="B20" s="5"/>
      <c r="C20" s="5">
        <v>1500</v>
      </c>
      <c r="D20" s="11"/>
      <c r="E20" s="11">
        <v>200</v>
      </c>
      <c r="G20" s="25" t="s">
        <v>31</v>
      </c>
      <c r="H20" s="26">
        <f ca="1">H10</f>
        <v>1445.9108146644705</v>
      </c>
      <c r="I20" s="27"/>
      <c r="J20" s="27"/>
      <c r="K20" s="28"/>
    </row>
    <row r="21" spans="1:11" x14ac:dyDescent="0.25">
      <c r="A21" t="s">
        <v>19</v>
      </c>
      <c r="B21" s="5"/>
      <c r="C21" s="18">
        <f>7258/12</f>
        <v>604.83333333333337</v>
      </c>
      <c r="D21" s="11"/>
      <c r="E21" s="11">
        <v>605</v>
      </c>
      <c r="G21" s="25" t="s">
        <v>32</v>
      </c>
      <c r="H21" s="26">
        <f ca="1">K10</f>
        <v>572.10061446151542</v>
      </c>
      <c r="I21" s="27"/>
      <c r="J21" s="27"/>
      <c r="K21" s="28"/>
    </row>
    <row r="22" spans="1:11" x14ac:dyDescent="0.25">
      <c r="A22" t="s">
        <v>26</v>
      </c>
      <c r="B22" s="5"/>
      <c r="C22" s="5">
        <v>1500</v>
      </c>
      <c r="D22" s="11"/>
      <c r="E22" s="11">
        <v>1000</v>
      </c>
      <c r="G22" s="25" t="s">
        <v>43</v>
      </c>
      <c r="H22" s="27">
        <v>2500</v>
      </c>
      <c r="I22" s="27"/>
      <c r="J22" s="27" t="s">
        <v>44</v>
      </c>
      <c r="K22" s="28"/>
    </row>
    <row r="23" spans="1:11" x14ac:dyDescent="0.25">
      <c r="A23" t="s">
        <v>20</v>
      </c>
      <c r="B23" s="5"/>
      <c r="C23" s="5">
        <v>950</v>
      </c>
      <c r="D23" s="11"/>
      <c r="E23" s="11"/>
      <c r="G23" s="29" t="s">
        <v>13</v>
      </c>
      <c r="H23" s="30">
        <f ca="1">SUM(H19:H22)</f>
        <v>11050.531011369889</v>
      </c>
      <c r="I23" s="27"/>
      <c r="J23" s="31">
        <f>(C19*13.9+E19*12)/12</f>
        <v>12327.487274999999</v>
      </c>
      <c r="K23" s="28"/>
    </row>
    <row r="24" spans="1:11" x14ac:dyDescent="0.25">
      <c r="A24" t="s">
        <v>21</v>
      </c>
      <c r="B24" s="5"/>
      <c r="C24" s="5">
        <v>1850</v>
      </c>
      <c r="D24" s="11"/>
      <c r="E24" s="11"/>
      <c r="G24" s="29" t="s">
        <v>33</v>
      </c>
      <c r="H24" s="32">
        <f ca="1">H23/J23</f>
        <v>0.89641390535281562</v>
      </c>
      <c r="I24" s="27"/>
      <c r="J24" s="27"/>
      <c r="K24" s="28"/>
    </row>
    <row r="25" spans="1:11" x14ac:dyDescent="0.25">
      <c r="A25" t="s">
        <v>22</v>
      </c>
      <c r="B25" s="5"/>
      <c r="C25" s="5">
        <v>300</v>
      </c>
      <c r="D25" s="11"/>
      <c r="E25" s="11">
        <v>300</v>
      </c>
      <c r="G25" s="25"/>
      <c r="H25" s="27"/>
      <c r="I25" s="27"/>
      <c r="J25" s="27"/>
      <c r="K25" s="28"/>
    </row>
    <row r="26" spans="1:11" x14ac:dyDescent="0.25">
      <c r="A26" t="s">
        <v>23</v>
      </c>
      <c r="B26" s="5"/>
      <c r="C26" s="5">
        <v>200</v>
      </c>
      <c r="D26" s="11"/>
      <c r="E26" s="11"/>
      <c r="F26" s="4" t="s">
        <v>45</v>
      </c>
      <c r="G26" s="25"/>
      <c r="H26" s="27"/>
      <c r="I26" s="27"/>
      <c r="J26" s="27"/>
      <c r="K26" s="28"/>
    </row>
    <row r="27" spans="1:11" x14ac:dyDescent="0.25">
      <c r="A27" t="s">
        <v>24</v>
      </c>
      <c r="B27" s="5"/>
      <c r="C27" s="18">
        <f>F27</f>
        <v>861.55807299999981</v>
      </c>
      <c r="D27" s="11"/>
      <c r="E27" s="11"/>
      <c r="F27" s="39">
        <f>((C19*13.9+4500*12)-(C21+C22+800)*24)*12%/12</f>
        <v>861.55807299999981</v>
      </c>
      <c r="G27" s="25"/>
      <c r="H27" s="27"/>
      <c r="I27" s="27"/>
      <c r="J27" s="27"/>
      <c r="K27" s="28"/>
    </row>
    <row r="28" spans="1:11" x14ac:dyDescent="0.25">
      <c r="A28" t="s">
        <v>18</v>
      </c>
      <c r="B28" s="5"/>
      <c r="C28" s="5">
        <v>1500</v>
      </c>
      <c r="D28" s="11"/>
      <c r="E28" s="11">
        <v>1500</v>
      </c>
      <c r="G28" s="25" t="s">
        <v>60</v>
      </c>
      <c r="H28" s="27">
        <v>11746</v>
      </c>
      <c r="I28" s="37">
        <v>0.05</v>
      </c>
      <c r="J28" s="27" t="s">
        <v>38</v>
      </c>
      <c r="K28" s="33">
        <f>H28/$J$23</f>
        <v>0.95283002431653296</v>
      </c>
    </row>
    <row r="29" spans="1:11" x14ac:dyDescent="0.25">
      <c r="B29" s="5"/>
      <c r="C29" s="5"/>
      <c r="D29" s="11"/>
      <c r="E29" s="11"/>
      <c r="G29" s="25" t="s">
        <v>61</v>
      </c>
      <c r="H29" s="27">
        <v>11459</v>
      </c>
      <c r="I29" s="37">
        <v>0.05</v>
      </c>
      <c r="J29" s="27" t="s">
        <v>39</v>
      </c>
      <c r="K29" s="33">
        <f>H29/$J$23</f>
        <v>0.92954871859723742</v>
      </c>
    </row>
    <row r="30" spans="1:11" ht="15.75" thickBot="1" x14ac:dyDescent="0.3">
      <c r="A30" s="3" t="s">
        <v>34</v>
      </c>
      <c r="B30" s="7"/>
      <c r="C30" s="7">
        <f>C19-SUM(C20:C27)+C28</f>
        <v>1062.5155936666652</v>
      </c>
      <c r="D30" s="11"/>
      <c r="E30" s="11">
        <f>E19-SUM(E20:E28)</f>
        <v>233.17000000000007</v>
      </c>
      <c r="G30" s="34" t="s">
        <v>40</v>
      </c>
      <c r="H30" s="35">
        <v>10640</v>
      </c>
      <c r="I30" s="38">
        <v>0.05</v>
      </c>
      <c r="J30" s="35" t="s">
        <v>41</v>
      </c>
      <c r="K30" s="36">
        <f>H30/$J$23</f>
        <v>0.86311182178851609</v>
      </c>
    </row>
    <row r="31" spans="1:11" x14ac:dyDescent="0.25">
      <c r="A31" s="3" t="s">
        <v>36</v>
      </c>
      <c r="B31" s="5"/>
      <c r="C31" s="7">
        <f>(C19+C34)/12</f>
        <v>1201.5562499999999</v>
      </c>
      <c r="D31" s="11"/>
      <c r="E31" s="11"/>
    </row>
    <row r="32" spans="1:11" x14ac:dyDescent="0.25">
      <c r="A32" t="s">
        <v>37</v>
      </c>
      <c r="B32" s="5"/>
      <c r="C32" s="7">
        <f>C31+C30</f>
        <v>2264.0718436666648</v>
      </c>
      <c r="D32" s="11"/>
      <c r="E32" s="11"/>
    </row>
    <row r="33" spans="2:5" x14ac:dyDescent="0.25">
      <c r="B33" s="5"/>
      <c r="C33" s="5" t="s">
        <v>27</v>
      </c>
      <c r="D33" s="11"/>
      <c r="E33" s="11"/>
    </row>
    <row r="34" spans="2:5" x14ac:dyDescent="0.25">
      <c r="B34" s="5"/>
      <c r="C34" s="7">
        <f>7%*0.9*C8*12</f>
        <v>7089.7680000000009</v>
      </c>
      <c r="D34" s="11"/>
      <c r="E34" s="1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Julien Battaglia</dc:creator>
  <cp:lastModifiedBy>Julien Battaglia</cp:lastModifiedBy>
  <dcterms:created xsi:type="dcterms:W3CDTF">2025-12-22T08:15:09Z</dcterms:created>
  <dcterms:modified xsi:type="dcterms:W3CDTF">2026-02-24T14:38:43Z</dcterms:modified>
</cp:coreProperties>
</file>